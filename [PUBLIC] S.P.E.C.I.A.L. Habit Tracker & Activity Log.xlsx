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AL Dash" sheetId="1" r:id="rId4"/>
    <sheet state="visible" name="Habit Tracker" sheetId="2" r:id="rId5"/>
    <sheet state="visible" name="Strength" sheetId="3" r:id="rId6"/>
    <sheet state="visible" name="Perception" sheetId="4" r:id="rId7"/>
    <sheet state="visible" name="Endurance" sheetId="5" r:id="rId8"/>
    <sheet state="visible" name="Charisma" sheetId="6" r:id="rId9"/>
    <sheet state="visible" name="Intelligence" sheetId="7" r:id="rId10"/>
    <sheet state="visible" name="Agility" sheetId="8" r:id="rId11"/>
    <sheet state="visible" name="Luck" sheetId="9" r:id="rId12"/>
    <sheet state="hidden" name="Calculation" sheetId="10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The description of each attribute. Pre-filled with creator's own definitions, but modifiable to fit your own.</t>
      </text>
    </comment>
    <comment authorId="0" ref="C1">
      <text>
        <t xml:space="preserve">Example behaviors for each attribute. Pre-filled with creator's own examples, but modifiable to fit your own.</t>
      </text>
    </comment>
    <comment authorId="0" ref="D1">
      <text>
        <t xml:space="preserve">Your current SPECIAL attribute points. Complete habits and log activities and watch the numbers change!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Recurring habits to track.</t>
      </text>
    </comment>
    <comment authorId="0" ref="A3">
      <text>
        <t xml:space="preserve">The S.P.E.C.I.A.L. attribute to attach to each habit.</t>
      </text>
    </comment>
    <comment authorId="0" ref="A4">
      <text>
        <t xml:space="preserve">The number of points you will gain or lose each time you log a date. Default is 1 but you are free to modify it for each habit.</t>
      </text>
    </comment>
    <comment authorId="0" ref="A5">
      <text>
        <t xml:space="preserve">Total points you have gained or lost from completing each habit. These will count towards or against your SPECIAL attributes in the SPECIAL Dashboard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Points granted for every logged activity defaults to +1. Feel free to change it to suit your needs. For example, if you log an activity you deem negative, you may want to change the point to -1.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Points granted for every logged activity defaults to +1. Feel free to change it to suit your needs. For example, if you log an activity you deem negative, you may want to change the point to -1.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Points granted for every logged activity defaults to +1. Feel free to change it to suit your needs. For example, if you log an activity you deem negative, you may want to change the point to -1.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Points granted for every logged activity defaults to +1. Feel free to change it to suit your needs. For example, if you log an activity you deem negative, you may want to change the point to -1.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Points granted for every logged activity defaults to +1. Feel free to change it to suit your needs. For example, if you log an activity you deem negative, you may want to change the point to -1.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Points granted for every logged activity defaults to +1. Feel free to change it to suit your needs. For example, if you log an activity you deem negative, you may want to change the point to -1.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Points granted for every logged activity defaults to +1. Feel free to change it to suit your needs. For example, if you log an activity you deem negative, you may want to change the point to -1.</t>
      </text>
    </comment>
  </commentList>
</comments>
</file>

<file path=xl/sharedStrings.xml><?xml version="1.0" encoding="utf-8"?>
<sst xmlns="http://schemas.openxmlformats.org/spreadsheetml/2006/main" count="91" uniqueCount="70">
  <si>
    <t>Attributes</t>
  </si>
  <si>
    <t>Description</t>
  </si>
  <si>
    <t>Example Activities</t>
  </si>
  <si>
    <t>Points</t>
  </si>
  <si>
    <r>
      <rPr>
        <rFont val="Nunito"/>
        <b/>
        <color theme="1"/>
      </rPr>
      <t>(S)</t>
    </r>
    <r>
      <rPr>
        <rFont val="Nunito"/>
        <color theme="1"/>
      </rPr>
      <t>trength</t>
    </r>
  </si>
  <si>
    <t>Get physically trained. Exercise, run, walk - every slightly rigorous movement counts.</t>
  </si>
  <si>
    <t>Walk to and from the office, stretch, run, dance</t>
  </si>
  <si>
    <r>
      <rPr>
        <rFont val="Nunito"/>
        <b/>
        <color theme="1"/>
      </rPr>
      <t>(P)</t>
    </r>
    <r>
      <rPr>
        <rFont val="Nunito"/>
        <color theme="1"/>
      </rPr>
      <t>erception</t>
    </r>
  </si>
  <si>
    <t>Cast your eyes ahead. Think long-term, avoid procrastination, get your shit done.</t>
  </si>
  <si>
    <t>Plan ahead, finish chores and tasks, avoid procrastination, lock in</t>
  </si>
  <si>
    <r>
      <rPr>
        <rFont val="Nunito"/>
        <b/>
        <color theme="1"/>
      </rPr>
      <t>(E)</t>
    </r>
    <r>
      <rPr>
        <rFont val="Nunito"/>
        <color theme="1"/>
      </rPr>
      <t>ndurance</t>
    </r>
  </si>
  <si>
    <t>Care for your body. Eat healthy, drink enough, try to get enough sleep.</t>
  </si>
  <si>
    <t>Eat healthy, avoid sugar, sleep</t>
  </si>
  <si>
    <r>
      <rPr>
        <rFont val="Nunito"/>
        <b/>
        <color theme="1"/>
      </rPr>
      <t>(C)</t>
    </r>
    <r>
      <rPr>
        <rFont val="Nunito"/>
        <color theme="1"/>
      </rPr>
      <t>harisma</t>
    </r>
  </si>
  <si>
    <t>Get in touch with your social side. Reach out, stand up for yourself, be kind.</t>
  </si>
  <si>
    <t>Don't yap to friends, be social, act appropriately in social situations</t>
  </si>
  <si>
    <r>
      <rPr>
        <rFont val="Nunito"/>
        <b/>
        <color theme="1"/>
      </rPr>
      <t>(I)</t>
    </r>
    <r>
      <rPr>
        <rFont val="Nunito"/>
        <color theme="1"/>
      </rPr>
      <t>ntelligence</t>
    </r>
  </si>
  <si>
    <t>Govern your mind. Resist unhelpful urges, make mindful choices, choose better media.</t>
  </si>
  <si>
    <t>Read a book, don't overspend, stay off tiktok, play Hypnospace Outlaw, be deliberate</t>
  </si>
  <si>
    <r>
      <rPr>
        <rFont val="Nunito"/>
        <b/>
        <color theme="1"/>
      </rPr>
      <t>(A)</t>
    </r>
    <r>
      <rPr>
        <rFont val="Nunito"/>
        <color theme="1"/>
      </rPr>
      <t>gility</t>
    </r>
  </si>
  <si>
    <t>Move fast. Allocate time better, spend time appropriately, don't overthink.</t>
  </si>
  <si>
    <t>Strictly about time and context switching - don't spend too much time on a task, resist perfectionism, respond to texts promptly, end tasks quickly, don't get stuck, don't hesitate</t>
  </si>
  <si>
    <r>
      <rPr>
        <rFont val="Nunito"/>
        <b/>
        <color theme="1"/>
      </rPr>
      <t>(L)</t>
    </r>
    <r>
      <rPr>
        <rFont val="Nunito"/>
        <color theme="1"/>
      </rPr>
      <t>uck</t>
    </r>
  </si>
  <si>
    <t>Get out of your comfort zone. Take risks, try new experiences, see what happens.</t>
  </si>
  <si>
    <t>Try new routes on a run, wear something different</t>
  </si>
  <si>
    <t>HABIT DETAILS</t>
  </si>
  <si>
    <t>Habit</t>
  </si>
  <si>
    <t>Run</t>
  </si>
  <si>
    <t>Read 10 pages</t>
  </si>
  <si>
    <t>No added sugar</t>
  </si>
  <si>
    <t>&gt;20 mins on IG</t>
  </si>
  <si>
    <t>(S)trength</t>
  </si>
  <si>
    <t>(I)ntelligence</t>
  </si>
  <si>
    <t>(E)ndurance</t>
  </si>
  <si>
    <t>Modifiers</t>
  </si>
  <si>
    <t>Total Points</t>
  </si>
  <si>
    <t>DATES COMPLETED</t>
  </si>
  <si>
    <t>STRENGTH</t>
  </si>
  <si>
    <t>Date</t>
  </si>
  <si>
    <t>Action</t>
  </si>
  <si>
    <t>Point</t>
  </si>
  <si>
    <t>Yoga</t>
  </si>
  <si>
    <t>Played Just Dance</t>
  </si>
  <si>
    <t>PERCEPTION</t>
  </si>
  <si>
    <t>Procrastinated resuming work</t>
  </si>
  <si>
    <t>Planned 1 week ahead</t>
  </si>
  <si>
    <t>Ignored to-do and chatted with co-worker instead</t>
  </si>
  <si>
    <t>ENDURANCE</t>
  </si>
  <si>
    <t>Had breakfast</t>
  </si>
  <si>
    <t>Procrastinated on going to bed</t>
  </si>
  <si>
    <t>Resisted procrastinating on showering</t>
  </si>
  <si>
    <t>CHARISMA</t>
  </si>
  <si>
    <t>Replied to all unreplied texts</t>
  </si>
  <si>
    <t>Had a lasting conversation, no ignoring, on Discord</t>
  </si>
  <si>
    <t>Told boss what he did wrong</t>
  </si>
  <si>
    <t>INTELLIGENCE</t>
  </si>
  <si>
    <t>Talked with ChatGPT</t>
  </si>
  <si>
    <t>Didn't open TikTok at all today</t>
  </si>
  <si>
    <t>AGILITY</t>
  </si>
  <si>
    <t>Completed ad hoc task</t>
  </si>
  <si>
    <t>Finished deck on time; didn't focus too much on layout as I usually would.</t>
  </si>
  <si>
    <t>Spent way too much time on an email.</t>
  </si>
  <si>
    <t>Realized that there was no chance to finish an deck. Pivoted to completing frameworks and completed all 5.</t>
  </si>
  <si>
    <t>LUCK</t>
  </si>
  <si>
    <t>Tried a new route during my run</t>
  </si>
  <si>
    <t>Wore a new hairstyle to the office</t>
  </si>
  <si>
    <t>CALCULATION - DO NOT TOUCH</t>
  </si>
  <si>
    <t>Attribute</t>
  </si>
  <si>
    <t>Points from manual logs</t>
  </si>
  <si>
    <t>Points from habits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</si>
</sst>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color theme="1"/>
      <name val="Nunito"/>
    </font>
    <font>
      <b/>
      <color theme="1"/>
      <name val="Nunito"/>
    </font>
  </fonts>
  <fills count="7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quotePrefix="1" borderId="0" fillId="0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3" fontId="1" numFmtId="0" xfId="0" applyFont="1"/>
    <xf borderId="0" fillId="0" fontId="1" numFmtId="164" xfId="0" applyAlignment="1" applyFont="1" applyNumberFormat="1">
      <alignment readingOrder="0"/>
    </xf>
    <xf borderId="0" fillId="5" fontId="1" numFmtId="0" xfId="0" applyAlignment="1" applyFill="1" applyFont="1">
      <alignment readingOrder="0" vertical="center"/>
    </xf>
    <xf borderId="0" fillId="5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6" fontId="2" numFmtId="0" xfId="0" applyAlignment="1" applyFill="1" applyFont="1">
      <alignment readingOrder="0"/>
    </xf>
    <xf borderId="0" fillId="6" fontId="1" numFmtId="0" xfId="0" applyFont="1"/>
    <xf borderId="0" fillId="6" fontId="2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8">
    <tableStyle count="4" pivot="0" name="SPECIAL Das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rengt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cep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dur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ism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tellige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gil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uck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8" displayName="Your_SPECIAL_Points" name="Your_SPECIAL_Points" id="1">
  <tableColumns count="4">
    <tableColumn name="Attributes" id="1"/>
    <tableColumn name="Description" id="2"/>
    <tableColumn name="Example Activities" id="3"/>
    <tableColumn name="Points" id="4"/>
  </tableColumns>
  <tableStyleInfo name="SPECIAL Dash-style" showColumnStripes="0" showFirstColumn="1" showLastColumn="1" showRowStripes="1"/>
</table>
</file>

<file path=xl/tables/table2.xml><?xml version="1.0" encoding="utf-8"?>
<table xmlns="http://schemas.openxmlformats.org/spreadsheetml/2006/main" ref="A3:C21" displayName="Strength" name="Strength" id="2">
  <tableColumns count="3">
    <tableColumn name="Date" id="1"/>
    <tableColumn name="Action" id="2"/>
    <tableColumn name="Point" id="3"/>
  </tableColumns>
  <tableStyleInfo name="Strength-style" showColumnStripes="0" showFirstColumn="1" showLastColumn="1" showRowStripes="1"/>
</table>
</file>

<file path=xl/tables/table3.xml><?xml version="1.0" encoding="utf-8"?>
<table xmlns="http://schemas.openxmlformats.org/spreadsheetml/2006/main" ref="A3:C19" displayName="Perception" name="Perception" id="3">
  <tableColumns count="3">
    <tableColumn name="Date" id="1"/>
    <tableColumn name="Action" id="2"/>
    <tableColumn name="Point" id="3"/>
  </tableColumns>
  <tableStyleInfo name="Perception-style" showColumnStripes="0" showFirstColumn="1" showLastColumn="1" showRowStripes="1"/>
</table>
</file>

<file path=xl/tables/table4.xml><?xml version="1.0" encoding="utf-8"?>
<table xmlns="http://schemas.openxmlformats.org/spreadsheetml/2006/main" ref="A3:C21" displayName="Endurance" name="Endurance" id="4">
  <tableColumns count="3">
    <tableColumn name="Date" id="1"/>
    <tableColumn name="Action" id="2"/>
    <tableColumn name="Point" id="3"/>
  </tableColumns>
  <tableStyleInfo name="Endurance-style" showColumnStripes="0" showFirstColumn="1" showLastColumn="1" showRowStripes="1"/>
</table>
</file>

<file path=xl/tables/table5.xml><?xml version="1.0" encoding="utf-8"?>
<table xmlns="http://schemas.openxmlformats.org/spreadsheetml/2006/main" ref="A3:C20" displayName="Charisma" name="Charisma" id="5">
  <tableColumns count="3">
    <tableColumn name="Date" id="1"/>
    <tableColumn name="Action" id="2"/>
    <tableColumn name="Point" id="3"/>
  </tableColumns>
  <tableStyleInfo name="Charisma-style" showColumnStripes="0" showFirstColumn="1" showLastColumn="1" showRowStripes="1"/>
</table>
</file>

<file path=xl/tables/table6.xml><?xml version="1.0" encoding="utf-8"?>
<table xmlns="http://schemas.openxmlformats.org/spreadsheetml/2006/main" ref="A3:C21" displayName="Intelligence" name="Intelligence" id="6">
  <tableColumns count="3">
    <tableColumn name="Date" id="1"/>
    <tableColumn name="Action" id="2"/>
    <tableColumn name="Point" id="3"/>
  </tableColumns>
  <tableStyleInfo name="Intelligence-style" showColumnStripes="0" showFirstColumn="1" showLastColumn="1" showRowStripes="1"/>
</table>
</file>

<file path=xl/tables/table7.xml><?xml version="1.0" encoding="utf-8"?>
<table xmlns="http://schemas.openxmlformats.org/spreadsheetml/2006/main" ref="A3:C21" displayName="Agility" name="Agility" id="7">
  <tableColumns count="3">
    <tableColumn name="Date" id="1"/>
    <tableColumn name="Action" id="2"/>
    <tableColumn name="Point" id="3"/>
  </tableColumns>
  <tableStyleInfo name="Agility-style" showColumnStripes="0" showFirstColumn="1" showLastColumn="1" showRowStripes="1"/>
</table>
</file>

<file path=xl/tables/table8.xml><?xml version="1.0" encoding="utf-8"?>
<table xmlns="http://schemas.openxmlformats.org/spreadsheetml/2006/main" ref="A3:C21" displayName="Luck" name="Luck" id="8">
  <tableColumns count="3">
    <tableColumn name="Date" id="1"/>
    <tableColumn name="Action" id="2"/>
    <tableColumn name="Point" id="3"/>
  </tableColumns>
  <tableStyleInfo name="Luc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Relationship Id="rId5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Relationship Id="rId5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Relationship Id="rId5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Relationship Id="rId5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Relationship Id="rId5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3" width="39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2.5" customHeight="1">
      <c r="A2" s="4" t="s">
        <v>4</v>
      </c>
      <c r="B2" s="5" t="s">
        <v>5</v>
      </c>
      <c r="C2" s="5" t="s">
        <v>6</v>
      </c>
      <c r="D2" s="6">
        <f>SUM(Calculation!C3:D3)</f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2.5" customHeight="1">
      <c r="A3" s="4" t="s">
        <v>7</v>
      </c>
      <c r="B3" s="5" t="s">
        <v>8</v>
      </c>
      <c r="C3" s="5" t="s">
        <v>9</v>
      </c>
      <c r="D3" s="6">
        <f>SUM(Calculation!C4:D4)</f>
        <v>-1</v>
      </c>
      <c r="E3" s="3"/>
      <c r="F3" s="3"/>
      <c r="G3" s="3"/>
      <c r="H3" s="3"/>
      <c r="I3" s="7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2.5" customHeight="1">
      <c r="A4" s="4" t="s">
        <v>10</v>
      </c>
      <c r="B4" s="5" t="s">
        <v>11</v>
      </c>
      <c r="C4" s="5" t="s">
        <v>12</v>
      </c>
      <c r="D4" s="6">
        <f>SUM(Calculation!C5:D5)</f>
        <v>4</v>
      </c>
      <c r="E4" s="3"/>
      <c r="F4" s="3"/>
      <c r="G4" s="3"/>
      <c r="H4" s="3"/>
      <c r="I4" s="7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2.5" customHeight="1">
      <c r="A5" s="4" t="s">
        <v>13</v>
      </c>
      <c r="B5" s="5" t="s">
        <v>14</v>
      </c>
      <c r="C5" s="5" t="s">
        <v>15</v>
      </c>
      <c r="D5" s="6">
        <f>SUM(Calculation!C6:D6)</f>
        <v>3</v>
      </c>
      <c r="E5" s="3"/>
      <c r="F5" s="3"/>
      <c r="G5" s="3"/>
      <c r="H5" s="3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2.5" customHeight="1">
      <c r="A6" s="4" t="s">
        <v>16</v>
      </c>
      <c r="B6" s="5" t="s">
        <v>17</v>
      </c>
      <c r="C6" s="5" t="s">
        <v>18</v>
      </c>
      <c r="D6" s="6">
        <f>SUM(Calculation!C7:D7)</f>
        <v>1</v>
      </c>
      <c r="E6" s="3"/>
      <c r="F6" s="3"/>
      <c r="G6" s="3"/>
      <c r="H6" s="3"/>
      <c r="I6" s="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22.5" customHeight="1">
      <c r="A7" s="4" t="s">
        <v>19</v>
      </c>
      <c r="B7" s="5" t="s">
        <v>20</v>
      </c>
      <c r="C7" s="5" t="s">
        <v>21</v>
      </c>
      <c r="D7" s="6">
        <f>SUM(Calculation!C8:D8)</f>
        <v>2</v>
      </c>
      <c r="E7" s="3"/>
      <c r="F7" s="3"/>
      <c r="G7" s="3"/>
      <c r="H7" s="3"/>
      <c r="I7" s="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2.5" customHeight="1">
      <c r="A8" s="4" t="s">
        <v>22</v>
      </c>
      <c r="B8" s="5" t="s">
        <v>23</v>
      </c>
      <c r="C8" s="5" t="s">
        <v>24</v>
      </c>
      <c r="D8" s="6">
        <f>SUM(Calculation!C9:D9)</f>
        <v>2</v>
      </c>
      <c r="E8" s="3"/>
      <c r="F8" s="3"/>
      <c r="G8" s="3"/>
      <c r="H8" s="3"/>
      <c r="I8" s="7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3"/>
      <c r="C9" s="3"/>
      <c r="D9" s="3"/>
      <c r="E9" s="3"/>
      <c r="F9" s="3"/>
      <c r="G9" s="3"/>
      <c r="H9" s="3"/>
      <c r="I9" s="7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conditionalFormatting sqref="D2:D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2" max="7" width="13.63"/>
    <col customWidth="1" hidden="1" min="8" max="10" width="13.63"/>
    <col hidden="1" min="11" max="26" width="12.63"/>
  </cols>
  <sheetData>
    <row r="1">
      <c r="A1" s="8" t="s">
        <v>25</v>
      </c>
    </row>
    <row r="2">
      <c r="A2" s="9" t="s">
        <v>26</v>
      </c>
      <c r="B2" s="7" t="s">
        <v>27</v>
      </c>
      <c r="C2" s="7" t="s">
        <v>28</v>
      </c>
      <c r="D2" s="7" t="s">
        <v>29</v>
      </c>
      <c r="E2" s="10" t="s">
        <v>30</v>
      </c>
      <c r="F2" s="3"/>
      <c r="G2" s="7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9" t="s">
        <v>0</v>
      </c>
      <c r="B3" s="7" t="s">
        <v>31</v>
      </c>
      <c r="C3" s="7" t="s">
        <v>32</v>
      </c>
      <c r="D3" s="7" t="s">
        <v>33</v>
      </c>
      <c r="E3" s="7" t="s">
        <v>32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34</v>
      </c>
      <c r="B4" s="11">
        <v>1.0</v>
      </c>
      <c r="C4" s="11">
        <v>1.0</v>
      </c>
      <c r="D4" s="11">
        <v>1.0</v>
      </c>
      <c r="E4" s="11">
        <v>-1.0</v>
      </c>
      <c r="F4" s="11">
        <v>1.0</v>
      </c>
      <c r="G4" s="11">
        <v>1.0</v>
      </c>
      <c r="H4" s="7">
        <v>1.0</v>
      </c>
      <c r="I4" s="7">
        <v>1.0</v>
      </c>
      <c r="J4" s="7">
        <v>1.0</v>
      </c>
      <c r="K4" s="7">
        <v>1.0</v>
      </c>
      <c r="L4" s="7">
        <v>1.0</v>
      </c>
      <c r="M4" s="7">
        <v>1.0</v>
      </c>
      <c r="N4" s="7">
        <v>1.0</v>
      </c>
      <c r="O4" s="7">
        <v>1.0</v>
      </c>
      <c r="P4" s="7">
        <v>1.0</v>
      </c>
      <c r="Q4" s="7">
        <v>1.0</v>
      </c>
      <c r="R4" s="7">
        <v>1.0</v>
      </c>
      <c r="S4" s="7">
        <v>1.0</v>
      </c>
      <c r="T4" s="7">
        <v>1.0</v>
      </c>
      <c r="U4" s="7">
        <v>1.0</v>
      </c>
      <c r="V4" s="7">
        <v>1.0</v>
      </c>
      <c r="W4" s="7">
        <v>1.0</v>
      </c>
      <c r="X4" s="7">
        <v>1.0</v>
      </c>
      <c r="Y4" s="7">
        <v>1.0</v>
      </c>
      <c r="Z4" s="7">
        <v>1.0</v>
      </c>
    </row>
    <row r="5">
      <c r="A5" s="9" t="s">
        <v>35</v>
      </c>
      <c r="B5" s="7">
        <f t="shared" ref="B5:G5" si="1">COUNTA(B7:B1003)*B4</f>
        <v>1</v>
      </c>
      <c r="C5" s="7">
        <f t="shared" si="1"/>
        <v>1</v>
      </c>
      <c r="D5" s="7">
        <f t="shared" si="1"/>
        <v>3</v>
      </c>
      <c r="E5" s="7">
        <f t="shared" si="1"/>
        <v>-1</v>
      </c>
      <c r="F5" s="7">
        <f t="shared" si="1"/>
        <v>0</v>
      </c>
      <c r="G5" s="7">
        <f t="shared" si="1"/>
        <v>0</v>
      </c>
      <c r="H5" s="7">
        <f t="shared" ref="H5:Z5" si="2">COUNTA(H7:H1003)</f>
        <v>0</v>
      </c>
      <c r="I5" s="7">
        <f t="shared" si="2"/>
        <v>0</v>
      </c>
      <c r="J5" s="7">
        <f t="shared" si="2"/>
        <v>0</v>
      </c>
      <c r="K5" s="7">
        <f t="shared" si="2"/>
        <v>0</v>
      </c>
      <c r="L5" s="7">
        <f t="shared" si="2"/>
        <v>0</v>
      </c>
      <c r="M5" s="7">
        <f t="shared" si="2"/>
        <v>0</v>
      </c>
      <c r="N5" s="7">
        <f t="shared" si="2"/>
        <v>0</v>
      </c>
      <c r="O5" s="7">
        <f t="shared" si="2"/>
        <v>0</v>
      </c>
      <c r="P5" s="7">
        <f t="shared" si="2"/>
        <v>0</v>
      </c>
      <c r="Q5" s="7">
        <f t="shared" si="2"/>
        <v>0</v>
      </c>
      <c r="R5" s="7">
        <f t="shared" si="2"/>
        <v>0</v>
      </c>
      <c r="S5" s="7">
        <f t="shared" si="2"/>
        <v>0</v>
      </c>
      <c r="T5" s="7">
        <f t="shared" si="2"/>
        <v>0</v>
      </c>
      <c r="U5" s="7">
        <f t="shared" si="2"/>
        <v>0</v>
      </c>
      <c r="V5" s="7">
        <f t="shared" si="2"/>
        <v>0</v>
      </c>
      <c r="W5" s="7">
        <f t="shared" si="2"/>
        <v>0</v>
      </c>
      <c r="X5" s="7">
        <f t="shared" si="2"/>
        <v>0</v>
      </c>
      <c r="Y5" s="7">
        <f t="shared" si="2"/>
        <v>0</v>
      </c>
      <c r="Z5" s="7">
        <f t="shared" si="2"/>
        <v>0</v>
      </c>
    </row>
    <row r="6">
      <c r="A6" s="8" t="s">
        <v>36</v>
      </c>
    </row>
    <row r="7">
      <c r="A7" s="12"/>
      <c r="B7" s="13">
        <v>45985.0</v>
      </c>
      <c r="C7" s="13">
        <v>45986.0</v>
      </c>
      <c r="D7" s="13">
        <v>45985.0</v>
      </c>
      <c r="E7" s="13">
        <v>45990.0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"/>
      <c r="B8" s="3"/>
      <c r="C8" s="3"/>
      <c r="D8" s="13">
        <v>45986.0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"/>
      <c r="B9" s="3"/>
      <c r="C9" s="3"/>
      <c r="D9" s="13">
        <v>45987.0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2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12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12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mergeCells count="2">
    <mergeCell ref="A1:Z1"/>
    <mergeCell ref="A6:Z6"/>
  </mergeCells>
  <conditionalFormatting sqref="B7:J1003">
    <cfRule type="notContainsBlanks" dxfId="5" priority="1">
      <formula>LEN(TRIM(B7))&gt;0</formula>
    </cfRule>
  </conditionalFormatting>
  <dataValidations>
    <dataValidation type="list" allowBlank="1" showErrorMessage="1" sqref="B3:Z3">
      <formula1>Your_SPECIAL_Points[Attributes]</formula1>
    </dataValidation>
    <dataValidation type="custom" allowBlank="1" showDropDown="1" sqref="B7:Z1003">
      <formula1>OR(NOT(ISERROR(DATEVALUE(B7))), AND(ISNUMBER(B7), LEFT(CELL("format", B7))="D"))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13"/>
  </cols>
  <sheetData>
    <row r="1">
      <c r="A1" s="14" t="s">
        <v>37</v>
      </c>
      <c r="B1" s="15" t="str">
        <f>'SPECIAL Dash'!B2</f>
        <v>Get physically trained. Exercise, run, walk - every slightly rigorous movement counts.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/>
      <c r="B2" s="16"/>
      <c r="C2" s="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1" t="s">
        <v>38</v>
      </c>
      <c r="B3" s="17" t="s">
        <v>39</v>
      </c>
      <c r="C3" s="1" t="s">
        <v>40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18">
        <v>45985.0</v>
      </c>
      <c r="B4" s="5" t="s">
        <v>41</v>
      </c>
      <c r="C4" s="6">
        <f t="shared" ref="C4:C21" si="1">IF(ISBLANK(A4),,1)</f>
        <v>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18">
        <v>45987.0</v>
      </c>
      <c r="B5" s="5" t="s">
        <v>42</v>
      </c>
      <c r="C5" s="6">
        <f t="shared" si="1"/>
        <v>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18">
        <v>45987.0</v>
      </c>
      <c r="B6" s="5" t="s">
        <v>41</v>
      </c>
      <c r="C6" s="6">
        <f t="shared" si="1"/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6"/>
      <c r="B7" s="19"/>
      <c r="C7" s="6" t="str">
        <f t="shared" si="1"/>
        <v/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6"/>
      <c r="B8" s="19"/>
      <c r="C8" s="6" t="str">
        <f t="shared" si="1"/>
        <v/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6"/>
      <c r="B9" s="19"/>
      <c r="C9" s="6" t="str">
        <f t="shared" si="1"/>
        <v/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6"/>
      <c r="B10" s="19"/>
      <c r="C10" s="6" t="str">
        <f t="shared" si="1"/>
        <v/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6"/>
      <c r="B11" s="19"/>
      <c r="C11" s="6" t="str">
        <f t="shared" si="1"/>
        <v/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6"/>
      <c r="B12" s="19"/>
      <c r="C12" s="6" t="str">
        <f t="shared" si="1"/>
        <v/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6"/>
      <c r="B13" s="19"/>
      <c r="C13" s="6" t="str">
        <f t="shared" si="1"/>
        <v/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6"/>
      <c r="B14" s="19"/>
      <c r="C14" s="6" t="str">
        <f t="shared" si="1"/>
        <v/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6"/>
      <c r="B15" s="19"/>
      <c r="C15" s="6" t="str">
        <f t="shared" si="1"/>
        <v/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6"/>
      <c r="B16" s="19"/>
      <c r="C16" s="6" t="str">
        <f t="shared" si="1"/>
        <v/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6"/>
      <c r="B17" s="19"/>
      <c r="C17" s="6" t="str">
        <f t="shared" si="1"/>
        <v/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6"/>
      <c r="B18" s="19"/>
      <c r="C18" s="6" t="str">
        <f t="shared" si="1"/>
        <v/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6"/>
      <c r="B19" s="19"/>
      <c r="C19" s="6" t="str">
        <f t="shared" si="1"/>
        <v/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6"/>
      <c r="B20" s="19"/>
      <c r="C20" s="6" t="str">
        <f t="shared" si="1"/>
        <v/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6"/>
      <c r="B21" s="19"/>
      <c r="C21" s="6" t="str">
        <f t="shared" si="1"/>
        <v/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20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2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2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2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2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2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2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2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2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2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2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2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2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2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2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2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2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2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2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2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2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2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2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2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2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2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2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2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2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2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2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2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2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2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2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2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2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2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2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2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2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2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2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2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2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2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2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2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2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2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2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2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2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2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2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2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2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2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2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2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2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2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2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2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2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2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2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2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2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2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2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2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2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2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2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2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2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2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2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2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2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2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2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2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2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2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2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2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2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2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2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2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2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2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2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2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2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2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2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2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2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2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2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2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2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2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2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2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2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2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2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2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2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2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2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2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2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2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2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2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2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2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2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2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2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2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2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2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2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2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2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2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2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2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2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2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2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2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2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2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2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2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2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2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2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2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2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2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2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2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2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2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2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2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2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2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2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2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2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2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2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2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2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2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2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2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2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2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2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2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2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2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2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2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2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2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2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2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2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2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2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2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2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2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2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2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2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2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2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2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2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2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2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2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2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2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2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2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2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2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2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2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2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2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2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2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2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2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2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2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2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2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2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2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2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2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2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2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2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2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2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2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2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2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2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2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2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2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2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2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2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2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2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2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2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2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2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2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2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2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2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2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2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2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2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2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2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2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2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2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2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2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2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2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2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2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2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2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2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2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2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2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2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2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2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2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2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2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2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2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2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2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2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2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2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2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2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2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2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2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2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2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2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2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2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2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2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2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2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2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2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2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2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2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2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2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2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2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2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2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2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2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2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2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2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2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2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2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2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2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2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2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2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2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2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2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2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2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2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2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2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2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2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2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2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2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2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2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2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2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2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2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2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2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2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2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2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2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2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2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2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2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2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2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2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2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2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2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2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2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2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2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2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2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2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2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2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2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2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2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2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2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2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2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2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2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2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2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2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2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2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2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2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2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2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2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2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2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2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2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2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2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2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2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2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2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2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2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2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2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2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2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2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2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2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2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2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2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2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2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2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2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2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2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2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2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2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2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2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2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2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2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2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2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2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2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2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2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2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2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2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2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2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2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2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2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2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2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2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2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2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2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2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2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2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2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2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2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2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2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2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2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2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2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2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2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2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2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2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2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2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2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2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2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2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2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2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2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2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2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2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2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2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2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2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2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2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2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2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2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2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2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2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2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2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2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2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2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2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2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2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2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2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2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2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2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2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2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2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2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2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2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2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2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2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2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2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2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2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2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2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2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2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2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2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2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2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2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2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2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2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2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2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2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2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2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2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2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2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2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2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2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2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2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2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2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2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2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2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2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2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2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2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2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2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2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2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2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2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2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2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2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2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2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2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2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2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2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2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2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2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2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2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2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2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2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2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2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2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2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2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2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2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2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2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2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2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2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2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2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2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2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2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2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2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2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2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2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2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2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2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2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2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2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2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2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2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2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2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2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2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2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2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2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2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2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2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2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2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2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2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2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2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2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2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2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2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2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2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2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2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2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2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2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2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2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2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2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2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2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2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2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2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2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2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2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2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2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2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2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2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2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2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2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2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2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2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2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2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2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2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2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2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2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2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2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2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2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2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2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2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2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2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2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2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2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2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2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2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2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2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2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2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2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2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2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2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2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2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2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2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2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2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2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2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2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2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2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2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2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2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2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2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2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2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2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2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2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2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2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2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2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2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2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2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2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2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2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2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2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2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2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2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2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2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2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2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2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2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2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2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2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2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2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2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2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2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2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2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2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2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2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2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2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2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2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2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2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2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2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2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2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2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2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2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2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2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2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2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2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2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2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2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2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2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2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2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2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2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2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2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2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2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2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2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2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2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2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2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2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2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2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2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2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2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2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2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2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2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2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2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2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2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2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2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2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2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2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2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2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2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2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2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2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2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2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2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2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2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2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2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2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2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2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2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2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2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2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2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2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2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2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2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2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2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2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2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2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2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2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2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2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2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2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2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2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2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2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2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2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2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2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2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2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2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2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2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2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2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2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2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2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2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2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2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2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2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2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2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2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2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2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2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2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2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2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2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2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2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2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2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2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2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2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2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2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2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2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2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2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2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2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2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2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2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2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2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2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2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2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2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2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2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2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2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0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0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0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0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0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0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0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0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0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0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0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0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0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0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0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0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0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0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0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0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0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0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0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0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0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0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0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0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0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0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0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0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0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0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0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0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0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0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0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0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20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20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20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20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20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20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20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20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20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20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20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20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20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20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20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20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20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20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20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conditionalFormatting sqref="C4:C22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13"/>
  </cols>
  <sheetData>
    <row r="1">
      <c r="A1" s="14" t="s">
        <v>43</v>
      </c>
      <c r="B1" s="15" t="str">
        <f>'SPECIAL Dash'!B3</f>
        <v>Cast your eyes ahead. Think long-term, avoid procrastination, get your shit done.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/>
      <c r="B2" s="16"/>
      <c r="C2" s="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1" t="s">
        <v>38</v>
      </c>
      <c r="B3" s="17" t="s">
        <v>39</v>
      </c>
      <c r="C3" s="1" t="s">
        <v>40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18">
        <v>45986.0</v>
      </c>
      <c r="B4" s="5" t="s">
        <v>44</v>
      </c>
      <c r="C4" s="4">
        <v>-1.0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18">
        <v>45987.0</v>
      </c>
      <c r="B5" s="5" t="s">
        <v>45</v>
      </c>
      <c r="C5" s="6">
        <f>IF(ISBLANK(A5),,1)</f>
        <v>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18">
        <v>45987.0</v>
      </c>
      <c r="B6" s="5" t="s">
        <v>46</v>
      </c>
      <c r="C6" s="4">
        <v>-1.0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6"/>
      <c r="B7" s="19"/>
      <c r="C7" s="6" t="str">
        <f t="shared" ref="C7:C19" si="1">IF(ISBLANK(A7),,1)</f>
        <v/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6"/>
      <c r="B8" s="19"/>
      <c r="C8" s="6" t="str">
        <f t="shared" si="1"/>
        <v/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6"/>
      <c r="B9" s="19"/>
      <c r="C9" s="6" t="str">
        <f t="shared" si="1"/>
        <v/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6"/>
      <c r="B10" s="19"/>
      <c r="C10" s="6" t="str">
        <f t="shared" si="1"/>
        <v/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6"/>
      <c r="B11" s="19"/>
      <c r="C11" s="6" t="str">
        <f t="shared" si="1"/>
        <v/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6"/>
      <c r="B12" s="19"/>
      <c r="C12" s="6" t="str">
        <f t="shared" si="1"/>
        <v/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6"/>
      <c r="B13" s="19"/>
      <c r="C13" s="6" t="str">
        <f t="shared" si="1"/>
        <v/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6"/>
      <c r="B14" s="19"/>
      <c r="C14" s="6" t="str">
        <f t="shared" si="1"/>
        <v/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6"/>
      <c r="B15" s="19"/>
      <c r="C15" s="6" t="str">
        <f t="shared" si="1"/>
        <v/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6"/>
      <c r="B16" s="19"/>
      <c r="C16" s="6" t="str">
        <f t="shared" si="1"/>
        <v/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6"/>
      <c r="B17" s="19"/>
      <c r="C17" s="6" t="str">
        <f t="shared" si="1"/>
        <v/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6"/>
      <c r="B18" s="19"/>
      <c r="C18" s="6" t="str">
        <f t="shared" si="1"/>
        <v/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6"/>
      <c r="B19" s="19"/>
      <c r="C19" s="6" t="str">
        <f t="shared" si="1"/>
        <v/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20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20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20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2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2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2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2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2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2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2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2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2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2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2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2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2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2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2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2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2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2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2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2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2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2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2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2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2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2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2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2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2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2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2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2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2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2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2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2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2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2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2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2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2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2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2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2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2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2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2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2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2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2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2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2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2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2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2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2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2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2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2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2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2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2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2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2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2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2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2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2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2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2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2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2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2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2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2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2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2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2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2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2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2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2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2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2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2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2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2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2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2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2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2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2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2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2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2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2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2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2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2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2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2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2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2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2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2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2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2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2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2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2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2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2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2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2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2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2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2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2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2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2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2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2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2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2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2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2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2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2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2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2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2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2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2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2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2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2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2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2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2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2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2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2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2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2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2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2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2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2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2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2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2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2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2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2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2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2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2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2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2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2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2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2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2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2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2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2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2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2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2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2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2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2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2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2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2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2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2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2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2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2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2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2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2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2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2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2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2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2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2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2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2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2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2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2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2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2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2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2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2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2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2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2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2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2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2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2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2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2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2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2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2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2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2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2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2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2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2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2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2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2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2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2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2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2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2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2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2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2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2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2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2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2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2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2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2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2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2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2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2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2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2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2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2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2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2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2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2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2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2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2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2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2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2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2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2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2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2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2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2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2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2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2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2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2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2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2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2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2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2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2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2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2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2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2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2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2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2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2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2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2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2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2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2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2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2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2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2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2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2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2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2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2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2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2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2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2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2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2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2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2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2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2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2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2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2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2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2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2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2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2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2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2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2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2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2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2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2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2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2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2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2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2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2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2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2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2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2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2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2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2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2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2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2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2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2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2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2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2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2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2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2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2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2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2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2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2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2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2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2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2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2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2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2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2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2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2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2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2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2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2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2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2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2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2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2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2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2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2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2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2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2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2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2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2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2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2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2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2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2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2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2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2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2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2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2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2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2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2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2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2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2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2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2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2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2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2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2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2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2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2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2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2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2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2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2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2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2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2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2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2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2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2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2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2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2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2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2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2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2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2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2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2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2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2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2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2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2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2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2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2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2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2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2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2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2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2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2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2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2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2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2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2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2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2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2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2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2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2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2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2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2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2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2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2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2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2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2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2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2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2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2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2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2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2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2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2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2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2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2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2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2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2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2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2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2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2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2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2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2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2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2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2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2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2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2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2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2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2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2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2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2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2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2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2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2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2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2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2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2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2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2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2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2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2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2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2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2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2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2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2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2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2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2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2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2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2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2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2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2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2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2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2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2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2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2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2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2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2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2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2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2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2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2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2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2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2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2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2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2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2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2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2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2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2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2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2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2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2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2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2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2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2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2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2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2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2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2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2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2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2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2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2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2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2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2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2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2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2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2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2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2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2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2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2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2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2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2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2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2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2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2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2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2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2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2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2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2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2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2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2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2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2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2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2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2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2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2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2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2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2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2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2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2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2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2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2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2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2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2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2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2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2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2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2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2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2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2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2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2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2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2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2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2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2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2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2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2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2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2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2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2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2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2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2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2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2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2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2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2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2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2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2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2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2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2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2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2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2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2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2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2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2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2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2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2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2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2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2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2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2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2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2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2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2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2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2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2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2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2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2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2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2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2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2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2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2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2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2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2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2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2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2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2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2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2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2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2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2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2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2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2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2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2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2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2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2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2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2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2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2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2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2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2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2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2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2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2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2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2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2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2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2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2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2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2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2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2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2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2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2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2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2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2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2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2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2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2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2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2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2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2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2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2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2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2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2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2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2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2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2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2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2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2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2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2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2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2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2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2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2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2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2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2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2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2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2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2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2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2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2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2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2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2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2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2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2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2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2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2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2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2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2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2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2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2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2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2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2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2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2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2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2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2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2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2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2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2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2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2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2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2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2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2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2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2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2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2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2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2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2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2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2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2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2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2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2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2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2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2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2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2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2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2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2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2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2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2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2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2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2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2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2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2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2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2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2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2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2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2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2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2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2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2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2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2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2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2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2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2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2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2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2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2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2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2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2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2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2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2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2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2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2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2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2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2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2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2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2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2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2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2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2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2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2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2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2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2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2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2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2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2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2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2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2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0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0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0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0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0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0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0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0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0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0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0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0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0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0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0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0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0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0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0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0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0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0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0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0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0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0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0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0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0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0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0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0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0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0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0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0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0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0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0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0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20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20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20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20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20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20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20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20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20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20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20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20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20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20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20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20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20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conditionalFormatting sqref="C4:C1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13"/>
  </cols>
  <sheetData>
    <row r="1">
      <c r="A1" s="14" t="s">
        <v>47</v>
      </c>
      <c r="B1" s="15" t="str">
        <f>'SPECIAL Dash'!B4</f>
        <v>Care for your body. Eat healthy, drink enough, try to get enough sleep.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/>
      <c r="B2" s="16"/>
      <c r="C2" s="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1" t="s">
        <v>38</v>
      </c>
      <c r="B3" s="17" t="s">
        <v>39</v>
      </c>
      <c r="C3" s="1" t="s">
        <v>40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18">
        <v>45985.0</v>
      </c>
      <c r="B4" s="5" t="s">
        <v>48</v>
      </c>
      <c r="C4" s="6">
        <f>IF(ISBLANK(A4),,1)</f>
        <v>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18">
        <v>45986.0</v>
      </c>
      <c r="B5" s="5" t="s">
        <v>49</v>
      </c>
      <c r="C5" s="4">
        <v>-1.0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18">
        <v>45987.0</v>
      </c>
      <c r="B6" s="5" t="s">
        <v>50</v>
      </c>
      <c r="C6" s="6">
        <f t="shared" ref="C6:C21" si="1">IF(ISBLANK(A6),,1)</f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6"/>
      <c r="B7" s="19"/>
      <c r="C7" s="6" t="str">
        <f t="shared" si="1"/>
        <v/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6"/>
      <c r="B8" s="19"/>
      <c r="C8" s="6" t="str">
        <f t="shared" si="1"/>
        <v/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6"/>
      <c r="B9" s="19"/>
      <c r="C9" s="6" t="str">
        <f t="shared" si="1"/>
        <v/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6"/>
      <c r="B10" s="19"/>
      <c r="C10" s="6" t="str">
        <f t="shared" si="1"/>
        <v/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6"/>
      <c r="B11" s="19"/>
      <c r="C11" s="6" t="str">
        <f t="shared" si="1"/>
        <v/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6"/>
      <c r="B12" s="19"/>
      <c r="C12" s="6" t="str">
        <f t="shared" si="1"/>
        <v/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6"/>
      <c r="B13" s="19"/>
      <c r="C13" s="6" t="str">
        <f t="shared" si="1"/>
        <v/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6"/>
      <c r="B14" s="19"/>
      <c r="C14" s="6" t="str">
        <f t="shared" si="1"/>
        <v/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6"/>
      <c r="B15" s="19"/>
      <c r="C15" s="6" t="str">
        <f t="shared" si="1"/>
        <v/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6"/>
      <c r="B16" s="19"/>
      <c r="C16" s="6" t="str">
        <f t="shared" si="1"/>
        <v/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6"/>
      <c r="B17" s="19"/>
      <c r="C17" s="6" t="str">
        <f t="shared" si="1"/>
        <v/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6"/>
      <c r="B18" s="19"/>
      <c r="C18" s="6" t="str">
        <f t="shared" si="1"/>
        <v/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6"/>
      <c r="B19" s="19"/>
      <c r="C19" s="6" t="str">
        <f t="shared" si="1"/>
        <v/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6"/>
      <c r="B20" s="19"/>
      <c r="C20" s="6" t="str">
        <f t="shared" si="1"/>
        <v/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6"/>
      <c r="B21" s="19"/>
      <c r="C21" s="6" t="str">
        <f t="shared" si="1"/>
        <v/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20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2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2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2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2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2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2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2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2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2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2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2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2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2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2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2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2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2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2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2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2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2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2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2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2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2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2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2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2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2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2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2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2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2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2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2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2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2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2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2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2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2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2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2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2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2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2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2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2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2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2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2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2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2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2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2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2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2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2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2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2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2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2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2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2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2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2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2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2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2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2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2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2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2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2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2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2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2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2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2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2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2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2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2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2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2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2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2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2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2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2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2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2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2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2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2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2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2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2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2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2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2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2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2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2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2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2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2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2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2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2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2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2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2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2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2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2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2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2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2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2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2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2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2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2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2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2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2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2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2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2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2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2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2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2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2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2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2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2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2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2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2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2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2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2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2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2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2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2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2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2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2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2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2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2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2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2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2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2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2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2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2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2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2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2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2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2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2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2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2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2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2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2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2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2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2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2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2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2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2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2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2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2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2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2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2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2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2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2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2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2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2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2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2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2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2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2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2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2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2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2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2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2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2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2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2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2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2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2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2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2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2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2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2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2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2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2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2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2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2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2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2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2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2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2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2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2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2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2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2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2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2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2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2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2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2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2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2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2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2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2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2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2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2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2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2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2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2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2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2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2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2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2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2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2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2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2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2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2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2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2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2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2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2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2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2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2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2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2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2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2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2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2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2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2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2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2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2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2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2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2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2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2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2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2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2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2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2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2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2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2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2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2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2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2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2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2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2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2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2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2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2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2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2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2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2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2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2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2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2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2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2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2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2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2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2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2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2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2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2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2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2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2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2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2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2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2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2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2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2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2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2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2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2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2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2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2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2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2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2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2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2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2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2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2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2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2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2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2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2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2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2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2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2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2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2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2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2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2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2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2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2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2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2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2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2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2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2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2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2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2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2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2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2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2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2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2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2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2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2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2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2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2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2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2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2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2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2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2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2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2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2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2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2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2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2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2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2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2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2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2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2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2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2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2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2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2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2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2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2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2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2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2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2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2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2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2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2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2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2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2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2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2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2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2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2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2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2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2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2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2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2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2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2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2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2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2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2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2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2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2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2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2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2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2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2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2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2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2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2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2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2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2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2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2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2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2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2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2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2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2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2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2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2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2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2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2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2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2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2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2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2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2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2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2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2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2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2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2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2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2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2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2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2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2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2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2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2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2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2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2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2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2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2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2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2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2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2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2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2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2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2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2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2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2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2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2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2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2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2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2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2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2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2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2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2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2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2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2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2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2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2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2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2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2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2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2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2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2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2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2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2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2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2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2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2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2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2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2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2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2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2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2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2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2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2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2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2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2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2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2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2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2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2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2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2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2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2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2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2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2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2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2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2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2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2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2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2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2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2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2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2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2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2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2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2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2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2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2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2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2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2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2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2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2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2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2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2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2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2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2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2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2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2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2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2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2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2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2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2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2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2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2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2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2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2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2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2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2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2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2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2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2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2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2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2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2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2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2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2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2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2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2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2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2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2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2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2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2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2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2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2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2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2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2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2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2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2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2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2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2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2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2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2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2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2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2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2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2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2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2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2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2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2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2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2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2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2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2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2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2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2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2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2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2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2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2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2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2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2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2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2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2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2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2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2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2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2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2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2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2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2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2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2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2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2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2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2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2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2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2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2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2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2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2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2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2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2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2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2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2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2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2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2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2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2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2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2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2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2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2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2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2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2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2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2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2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2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2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2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2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2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2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2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2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2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2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2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2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2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2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2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2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2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2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2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2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2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2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2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2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2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2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2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2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2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2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2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2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2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2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2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2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2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2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2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2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2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2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2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2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2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2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2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2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2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2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2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2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2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2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2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2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2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2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2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2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2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2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2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2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2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2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2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2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2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2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2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2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2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2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2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2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2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2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2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2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2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2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2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2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2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2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2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2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2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2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2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2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2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2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2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2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2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2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2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2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2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2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2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2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2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2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2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2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2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2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2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2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2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2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2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2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2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2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2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2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2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2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2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2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2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2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2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2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2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2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2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2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2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2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2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2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2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2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2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2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2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2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2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2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2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2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2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2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2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2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2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2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2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2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2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2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2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2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0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0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0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0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0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0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0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0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0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0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0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0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0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0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0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0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0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0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0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0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0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0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0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0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0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0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0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0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0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0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0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0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0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0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0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0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0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0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0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0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20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20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20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20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20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20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20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20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20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20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20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20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20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20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20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20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20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20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20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conditionalFormatting sqref="C4:C2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2"/>
  <legacy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13"/>
  </cols>
  <sheetData>
    <row r="1">
      <c r="A1" s="14" t="s">
        <v>51</v>
      </c>
      <c r="B1" s="15" t="str">
        <f>'SPECIAL Dash'!B5</f>
        <v>Get in touch with your social side. Reach out, stand up for yourself, be kind.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/>
      <c r="B2" s="16"/>
      <c r="C2" s="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1" t="s">
        <v>38</v>
      </c>
      <c r="B3" s="17" t="s">
        <v>39</v>
      </c>
      <c r="C3" s="1" t="s">
        <v>40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18">
        <v>45985.0</v>
      </c>
      <c r="B4" s="5" t="s">
        <v>52</v>
      </c>
      <c r="C4" s="6">
        <f t="shared" ref="C4:C20" si="1">IF(ISBLANK(A4),,1)</f>
        <v>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18">
        <v>45985.0</v>
      </c>
      <c r="B5" s="5" t="s">
        <v>53</v>
      </c>
      <c r="C5" s="6">
        <f t="shared" si="1"/>
        <v>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18">
        <v>45987.0</v>
      </c>
      <c r="B6" s="5" t="s">
        <v>54</v>
      </c>
      <c r="C6" s="6">
        <f t="shared" si="1"/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6"/>
      <c r="B7" s="19"/>
      <c r="C7" s="6" t="str">
        <f t="shared" si="1"/>
        <v/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6"/>
      <c r="B8" s="19"/>
      <c r="C8" s="6" t="str">
        <f t="shared" si="1"/>
        <v/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6"/>
      <c r="B9" s="19"/>
      <c r="C9" s="6" t="str">
        <f t="shared" si="1"/>
        <v/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6"/>
      <c r="B10" s="19"/>
      <c r="C10" s="6" t="str">
        <f t="shared" si="1"/>
        <v/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6"/>
      <c r="B11" s="19"/>
      <c r="C11" s="6" t="str">
        <f t="shared" si="1"/>
        <v/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6"/>
      <c r="B12" s="19"/>
      <c r="C12" s="6" t="str">
        <f t="shared" si="1"/>
        <v/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6"/>
      <c r="B13" s="19"/>
      <c r="C13" s="6" t="str">
        <f t="shared" si="1"/>
        <v/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6"/>
      <c r="B14" s="19"/>
      <c r="C14" s="6" t="str">
        <f t="shared" si="1"/>
        <v/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6"/>
      <c r="B15" s="19"/>
      <c r="C15" s="6" t="str">
        <f t="shared" si="1"/>
        <v/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6"/>
      <c r="B16" s="19"/>
      <c r="C16" s="6" t="str">
        <f t="shared" si="1"/>
        <v/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6"/>
      <c r="B17" s="19"/>
      <c r="C17" s="6" t="str">
        <f t="shared" si="1"/>
        <v/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6"/>
      <c r="B18" s="19"/>
      <c r="C18" s="6" t="str">
        <f t="shared" si="1"/>
        <v/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6"/>
      <c r="B19" s="19"/>
      <c r="C19" s="6" t="str">
        <f t="shared" si="1"/>
        <v/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6"/>
      <c r="B20" s="19"/>
      <c r="C20" s="6" t="str">
        <f t="shared" si="1"/>
        <v/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20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20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2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2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2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2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2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2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2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2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2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2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2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2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2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2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2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2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2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2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2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2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2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2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2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2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2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2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2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2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2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2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2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2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2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2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2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2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2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2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2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2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2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2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2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2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2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2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2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2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2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2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2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2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2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2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2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2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2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2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2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2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2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2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2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2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2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2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2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2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2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2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2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2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2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2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2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2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2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2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2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2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2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2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2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2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2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2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2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2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2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2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2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2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2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2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2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2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2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2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2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2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2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2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2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2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2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2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2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2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2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2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2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2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2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2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2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2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2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2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2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2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2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2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2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2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2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2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2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2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2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2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2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2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2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2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2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2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2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2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2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2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2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2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2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2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2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2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2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2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2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2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2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2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2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2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2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2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2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2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2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2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2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2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2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2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2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2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2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2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2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2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2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2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2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2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2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2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2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2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2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2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2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2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2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2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2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2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2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2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2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2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2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2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2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2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2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2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2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2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2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2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2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2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2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2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2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2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2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2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2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2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2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2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2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2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2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2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2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2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2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2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2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2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2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2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2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2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2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2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2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2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2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2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2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2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2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2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2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2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2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2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2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2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2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2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2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2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2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2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2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2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2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2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2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2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2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2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2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2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2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2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2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2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2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2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2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2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2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2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2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2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2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2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2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2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2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2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2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2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2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2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2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2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2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2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2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2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2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2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2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2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2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2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2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2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2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2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2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2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2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2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2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2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2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2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2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2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2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2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2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2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2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2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2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2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2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2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2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2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2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2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2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2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2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2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2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2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2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2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2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2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2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2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2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2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2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2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2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2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2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2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2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2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2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2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2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2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2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2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2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2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2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2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2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2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2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2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2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2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2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2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2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2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2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2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2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2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2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2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2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2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2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2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2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2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2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2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2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2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2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2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2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2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2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2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2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2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2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2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2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2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2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2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2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2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2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2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2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2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2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2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2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2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2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2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2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2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2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2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2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2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2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2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2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2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2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2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2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2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2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2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2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2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2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2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2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2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2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2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2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2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2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2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2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2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2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2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2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2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2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2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2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2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2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2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2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2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2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2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2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2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2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2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2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2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2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2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2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2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2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2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2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2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2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2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2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2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2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2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2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2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2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2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2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2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2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2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2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2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2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2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2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2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2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2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2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2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2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2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2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2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2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2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2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2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2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2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2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2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2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2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2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2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2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2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2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2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2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2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2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2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2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2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2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2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2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2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2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2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2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2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2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2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2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2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2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2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2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2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2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2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2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2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2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2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2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2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2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2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2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2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2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2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2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2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2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2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2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2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2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2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2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2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2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2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2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2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2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2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2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2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2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2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2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2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2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2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2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2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2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2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2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2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2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2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2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2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2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2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2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2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2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2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2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2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2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2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2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2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2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2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2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2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2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2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2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2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2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2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2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2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2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2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2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2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2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2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2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2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2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2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2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2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2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2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2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2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2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2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2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2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2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2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2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2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2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2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2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2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2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2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2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2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2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2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2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2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2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2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2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2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2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2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2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2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2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2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2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2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2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2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2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2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2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2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2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2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2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2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2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2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2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2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2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2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2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2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2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2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2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2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2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2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2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2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2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2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2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2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2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2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2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2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2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2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2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2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2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2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2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2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2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2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2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2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2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2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2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2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2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2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2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2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2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2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2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2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2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2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2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2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2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2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2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2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2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2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2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2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2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2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2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2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2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2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2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2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2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2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2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2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2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2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2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2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2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2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2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2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2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2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2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2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2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2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2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2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2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2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2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2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2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2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2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2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2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2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2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2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2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2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2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2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2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2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2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2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2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2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2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2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2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2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2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2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2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2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2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2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2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2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2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2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2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2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2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2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2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2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2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2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2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2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2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2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2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2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2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2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2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2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2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2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2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2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2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2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2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2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2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2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2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2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2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2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2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2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2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2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2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2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2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2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2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2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2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2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2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2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2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2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2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2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2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2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2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2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2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2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2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2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2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2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2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2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2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2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2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2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2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2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2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2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2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2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2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2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2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2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2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2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2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2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2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2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2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2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2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2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2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2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2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2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2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2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0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0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0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0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0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0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0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0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0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0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0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0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0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0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0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0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0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0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0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0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0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0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0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0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0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0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0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0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0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0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0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0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0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0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0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0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0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0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0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0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20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20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20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20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20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20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20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20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20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20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20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20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20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20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20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20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20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20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C4:C2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2"/>
  <legacyDrawing r:id="rId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13"/>
  </cols>
  <sheetData>
    <row r="1">
      <c r="A1" s="14" t="s">
        <v>55</v>
      </c>
      <c r="B1" s="15" t="str">
        <f>'SPECIAL Dash'!B6</f>
        <v>Govern your mind. Resist unhelpful urges, make mindful choices, choose better media.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/>
      <c r="B2" s="16"/>
      <c r="C2" s="7"/>
      <c r="D2" s="3"/>
      <c r="E2" s="7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1" t="s">
        <v>38</v>
      </c>
      <c r="B3" s="17" t="s">
        <v>39</v>
      </c>
      <c r="C3" s="1" t="s">
        <v>40</v>
      </c>
      <c r="D3" s="3"/>
      <c r="E3" s="7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18">
        <v>45986.0</v>
      </c>
      <c r="B4" s="5" t="s">
        <v>56</v>
      </c>
      <c r="C4" s="4">
        <v>-1.0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18">
        <v>45987.0</v>
      </c>
      <c r="B5" s="5" t="s">
        <v>57</v>
      </c>
      <c r="C5" s="6">
        <f t="shared" ref="C5:C21" si="1">IF(ISBLANK(A5),,1)</f>
        <v>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6"/>
      <c r="B6" s="19"/>
      <c r="C6" s="6" t="str">
        <f t="shared" si="1"/>
        <v/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6"/>
      <c r="B7" s="19"/>
      <c r="C7" s="6" t="str">
        <f t="shared" si="1"/>
        <v/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6"/>
      <c r="B8" s="19"/>
      <c r="C8" s="6" t="str">
        <f t="shared" si="1"/>
        <v/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6"/>
      <c r="B9" s="19"/>
      <c r="C9" s="6" t="str">
        <f t="shared" si="1"/>
        <v/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6"/>
      <c r="B10" s="19"/>
      <c r="C10" s="6" t="str">
        <f t="shared" si="1"/>
        <v/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6"/>
      <c r="B11" s="19"/>
      <c r="C11" s="6" t="str">
        <f t="shared" si="1"/>
        <v/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6"/>
      <c r="B12" s="19"/>
      <c r="C12" s="6" t="str">
        <f t="shared" si="1"/>
        <v/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6"/>
      <c r="B13" s="19"/>
      <c r="C13" s="6" t="str">
        <f t="shared" si="1"/>
        <v/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6"/>
      <c r="B14" s="19"/>
      <c r="C14" s="6" t="str">
        <f t="shared" si="1"/>
        <v/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6"/>
      <c r="B15" s="19"/>
      <c r="C15" s="6" t="str">
        <f t="shared" si="1"/>
        <v/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6"/>
      <c r="B16" s="19"/>
      <c r="C16" s="6" t="str">
        <f t="shared" si="1"/>
        <v/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6"/>
      <c r="B17" s="19"/>
      <c r="C17" s="6" t="str">
        <f t="shared" si="1"/>
        <v/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6"/>
      <c r="B18" s="19"/>
      <c r="C18" s="6" t="str">
        <f t="shared" si="1"/>
        <v/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6"/>
      <c r="B19" s="19"/>
      <c r="C19" s="6" t="str">
        <f t="shared" si="1"/>
        <v/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6"/>
      <c r="B20" s="19"/>
      <c r="C20" s="6" t="str">
        <f t="shared" si="1"/>
        <v/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6"/>
      <c r="B21" s="19"/>
      <c r="C21" s="6" t="str">
        <f t="shared" si="1"/>
        <v/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20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2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2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2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2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2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2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2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2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2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2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2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2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2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2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2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2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2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2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2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2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2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2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2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2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2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2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2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2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2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2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2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2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2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2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2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2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2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2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2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2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2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2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2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2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2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2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2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2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2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2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2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2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2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2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2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2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2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2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2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2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2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2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2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2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2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2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2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2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2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2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2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2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2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2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2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2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2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2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2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2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2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2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2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2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2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2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2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2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2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2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2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2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2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2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2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2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2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2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2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2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2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2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2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2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2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2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2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2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2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2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2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2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2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2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2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2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2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2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2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2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2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2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2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2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2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2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2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2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2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2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2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2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2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2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2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2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2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2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2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2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2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2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2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2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2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2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2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2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2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2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2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2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2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2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2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2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2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2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2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2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2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2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2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2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2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2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2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2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2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2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2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2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2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2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2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2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2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2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2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2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2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2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2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2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2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2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2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2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2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2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2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2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2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2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2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2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2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2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2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2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2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2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2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2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2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2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2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2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2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2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2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2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2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2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2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2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2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2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2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2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2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2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2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2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2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2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2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2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2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2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2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2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2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2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2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2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2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2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2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2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2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2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2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2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2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2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2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2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2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2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2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2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2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2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2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2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2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2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2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2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2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2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2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2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2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2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2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2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2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2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2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2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2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2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2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2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2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2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2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2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2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2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2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2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2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2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2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2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2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2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2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2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2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2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2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2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2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2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2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2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2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2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2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2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2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2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2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2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2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2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2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2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2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2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2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2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2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2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2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2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2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2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2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2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2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2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2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2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2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2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2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2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2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2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2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2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2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2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2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2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2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2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2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2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2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2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2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2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2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2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2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2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2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2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2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2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2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2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2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2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2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2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2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2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2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2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2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2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2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2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2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2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2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2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2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2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2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2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2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2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2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2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2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2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2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2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2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2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2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2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2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2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2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2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2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2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2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2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2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2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2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2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2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2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2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2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2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2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2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2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2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2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2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2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2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2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2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2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2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2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2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2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2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2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2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2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2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2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2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2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2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2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2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2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2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2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2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2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2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2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2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2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2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2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2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2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2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2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2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2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2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2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2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2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2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2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2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2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2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2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2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2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2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2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2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2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2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2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2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2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2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2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2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2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2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2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2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2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2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2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2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2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2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2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2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2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2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2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2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2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2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2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2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2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2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2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2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2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2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2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2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2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2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2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2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2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2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2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2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2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2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2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2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2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2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2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2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2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2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2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2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2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2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2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2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2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2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2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2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2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2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2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2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2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2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2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2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2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2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2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2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2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2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2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2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2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2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2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2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2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2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2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2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2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2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2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2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2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2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2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2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2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2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2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2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2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2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2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2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2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2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2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2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2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2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2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2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2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2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2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2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2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2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2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2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2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2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2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2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2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2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2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2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2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2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2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2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2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2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2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2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2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2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2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2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2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2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2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2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2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2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2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2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2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2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2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2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2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2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2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2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2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2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2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2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2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2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2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2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2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2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2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2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2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2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2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2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2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2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2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2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2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2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2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2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2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2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2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2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2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2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2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2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2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2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2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2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2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2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2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2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2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2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2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2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2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2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2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2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2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2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2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2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2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2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2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2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2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2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2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2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2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2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2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2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2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2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2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2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2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2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2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2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2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2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2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2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2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2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2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2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2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2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2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2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2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2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2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2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2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2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2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2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2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2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2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2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2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2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2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2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2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2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2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2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2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2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2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2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2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2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2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2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2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2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2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2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2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2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2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2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2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2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2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2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2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2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2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2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2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2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2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2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2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2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2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2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2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2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2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2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2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2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2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2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2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2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2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2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2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2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2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2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2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2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2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2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2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2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2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2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2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2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2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2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2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2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2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2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2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2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2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2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2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2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2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2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2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2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2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2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2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2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2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2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2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2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2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2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2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2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2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2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2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2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2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2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2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2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2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2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2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2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2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2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2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2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2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2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2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2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2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2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2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2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2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2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2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2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2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2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2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2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2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2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2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2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2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2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2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2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2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2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2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2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2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2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2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2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2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2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2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2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2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2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2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2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2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2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2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2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2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2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2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0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0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0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0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0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0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0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0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0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0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0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0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0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0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0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0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0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0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0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0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0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0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0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0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0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0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0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0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0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0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0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0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0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0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0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0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0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0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0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0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20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20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20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20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20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20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20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20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20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</sheetData>
  <conditionalFormatting sqref="C4:C2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2"/>
  <legacyDrawing r:id="rId3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13"/>
  </cols>
  <sheetData>
    <row r="1">
      <c r="A1" s="14" t="s">
        <v>58</v>
      </c>
      <c r="B1" s="15" t="str">
        <f>'SPECIAL Dash'!B7</f>
        <v>Move fast. Allocate time better, spend time appropriately, don't overthink.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/>
      <c r="B2" s="16"/>
      <c r="C2" s="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1" t="s">
        <v>38</v>
      </c>
      <c r="B3" s="17" t="s">
        <v>39</v>
      </c>
      <c r="C3" s="1" t="s">
        <v>40</v>
      </c>
      <c r="D3" s="3"/>
      <c r="E3" s="7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18">
        <v>45985.0</v>
      </c>
      <c r="B4" s="5" t="s">
        <v>59</v>
      </c>
      <c r="C4" s="6">
        <f t="shared" ref="C4:C5" si="1">IF(ISBLANK(A4),,1)</f>
        <v>1</v>
      </c>
      <c r="D4" s="3"/>
      <c r="E4" s="7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18">
        <v>45985.0</v>
      </c>
      <c r="B5" s="5" t="s">
        <v>60</v>
      </c>
      <c r="C5" s="6">
        <f t="shared" si="1"/>
        <v>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18">
        <v>45986.0</v>
      </c>
      <c r="B6" s="5" t="s">
        <v>61</v>
      </c>
      <c r="C6" s="4">
        <v>-1.0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18">
        <v>45987.0</v>
      </c>
      <c r="B7" s="5" t="s">
        <v>62</v>
      </c>
      <c r="C7" s="6">
        <f t="shared" ref="C7:C21" si="2">IF(ISBLANK(A7),,1)</f>
        <v>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6"/>
      <c r="B8" s="19"/>
      <c r="C8" s="6" t="str">
        <f t="shared" si="2"/>
        <v/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6"/>
      <c r="B9" s="19"/>
      <c r="C9" s="6" t="str">
        <f t="shared" si="2"/>
        <v/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6"/>
      <c r="B10" s="19"/>
      <c r="C10" s="6" t="str">
        <f t="shared" si="2"/>
        <v/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6"/>
      <c r="B11" s="19"/>
      <c r="C11" s="6" t="str">
        <f t="shared" si="2"/>
        <v/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6"/>
      <c r="B12" s="19"/>
      <c r="C12" s="6" t="str">
        <f t="shared" si="2"/>
        <v/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6"/>
      <c r="B13" s="19"/>
      <c r="C13" s="6" t="str">
        <f t="shared" si="2"/>
        <v/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6"/>
      <c r="B14" s="19"/>
      <c r="C14" s="6" t="str">
        <f t="shared" si="2"/>
        <v/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6"/>
      <c r="B15" s="19"/>
      <c r="C15" s="6" t="str">
        <f t="shared" si="2"/>
        <v/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6"/>
      <c r="B16" s="19"/>
      <c r="C16" s="6" t="str">
        <f t="shared" si="2"/>
        <v/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6"/>
      <c r="B17" s="19"/>
      <c r="C17" s="6" t="str">
        <f t="shared" si="2"/>
        <v/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6"/>
      <c r="B18" s="19"/>
      <c r="C18" s="6" t="str">
        <f t="shared" si="2"/>
        <v/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6"/>
      <c r="B19" s="19"/>
      <c r="C19" s="6" t="str">
        <f t="shared" si="2"/>
        <v/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6"/>
      <c r="B20" s="19"/>
      <c r="C20" s="6" t="str">
        <f t="shared" si="2"/>
        <v/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6"/>
      <c r="B21" s="19"/>
      <c r="C21" s="6" t="str">
        <f t="shared" si="2"/>
        <v/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20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2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2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2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2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2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2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2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2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2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2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2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2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2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2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2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2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2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2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2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2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2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2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2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2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2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2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2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2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2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2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2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2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2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2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2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2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2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2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2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2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2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2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2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2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2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2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2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2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2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2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2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2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2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2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2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2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2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2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2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2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2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2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2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2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2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2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2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2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2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2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2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2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2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2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2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2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2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2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2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2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2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2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2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2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2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2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2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2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2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2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2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2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2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2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2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2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2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2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2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2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2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2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2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2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2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2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2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2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2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2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2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2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2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2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2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2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2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2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2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2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2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2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2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2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2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2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2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2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2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2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2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2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2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2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2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2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2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2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2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2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2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2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2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2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2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2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2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2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2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2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2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2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2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2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2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2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2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2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2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2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2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2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2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2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2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2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2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2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2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2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2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2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2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2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2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2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2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2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2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2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2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2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2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2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2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2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2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2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2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2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2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2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2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2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2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2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2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2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2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2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2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2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2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2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2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2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2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2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2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2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2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2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2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2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2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2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2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2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2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2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2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2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2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2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2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2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2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2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2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2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2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2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2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2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2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2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2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2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2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2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2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2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2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2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2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2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2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2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2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2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2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2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2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2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2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2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2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2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2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2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2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2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2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2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2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2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2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2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2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2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2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2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2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2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2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2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2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2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2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2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2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2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2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2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2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2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2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2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2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2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2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2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2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2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2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2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2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2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2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2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2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2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2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2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2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2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2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2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2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2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2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2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2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2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2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2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2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2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2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2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2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2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2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2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2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2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2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2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2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2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2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2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2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2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2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2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2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2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2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2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2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2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2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2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2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2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2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2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2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2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2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2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2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2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2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2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2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2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2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2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2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2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2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2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2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2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2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2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2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2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2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2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2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2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2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2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2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2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2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2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2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2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2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2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2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2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2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2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2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2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2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2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2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2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2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2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2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2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2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2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2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2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2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2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2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2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2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2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2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2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2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2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2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2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2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2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2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2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2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2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2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2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2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2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2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2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2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2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2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2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2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2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2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2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2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2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2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2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2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2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2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2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2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2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2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2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2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2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2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2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2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2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2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2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2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2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2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2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2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2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2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2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2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2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2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2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2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2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2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2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2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2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2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2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2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2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2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2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2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2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2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2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2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2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2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2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2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2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2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2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2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2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2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2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2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2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2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2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2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2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2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2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2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2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2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2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2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2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2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2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2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2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2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2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2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2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2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2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2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2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2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2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2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2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2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2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2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2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2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2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2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2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2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2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2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2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2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2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2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2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2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2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2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2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2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2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2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2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2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2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2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2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2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2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2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2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2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2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2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2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2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2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2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2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2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2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2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2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2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2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2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2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2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2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2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2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2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2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2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2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2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2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2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2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2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2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2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2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2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2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2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2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2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2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2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2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2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2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2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2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2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2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2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2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2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2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2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2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2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2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2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2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2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2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2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2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2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2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2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2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2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2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2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2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2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2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2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2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2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2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2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2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2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2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2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2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2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2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2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2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2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2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2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2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2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2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2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2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2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2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2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2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2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2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2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2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2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2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2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2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2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2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2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2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2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2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2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2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2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2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2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2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2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2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2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2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2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2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2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2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2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2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2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2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2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2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2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2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2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2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2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2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2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2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2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2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2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2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2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2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2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2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2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2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2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2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2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2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2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2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2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2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2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2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2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2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2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2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2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2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2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2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2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2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2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2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2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2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2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2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2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2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2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2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2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2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2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2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2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2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2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2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2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2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2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2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2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2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2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2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2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2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2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2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2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2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2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2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2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2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2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2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2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2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2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2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2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2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2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2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2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2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2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2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2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2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2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2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2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2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2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2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2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2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2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2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2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2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2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2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2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2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2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2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2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2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2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2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2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2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2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2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2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2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2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2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2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2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2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2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2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2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2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2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2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2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2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2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2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2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2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2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2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2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2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2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2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2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2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2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2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2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2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2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2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2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2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2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2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2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2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2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2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2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2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2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2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2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2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2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2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2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2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2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2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2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2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2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2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2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2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2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2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2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2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2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2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2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2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2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2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2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2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2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0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0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0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0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0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0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0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0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0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0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0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0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0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0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0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0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0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0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0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0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0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0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0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0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0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0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0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0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0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0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0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0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0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0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0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0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0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0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0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0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20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20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20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20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20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20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20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20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20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20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20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20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20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20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20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20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20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20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20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conditionalFormatting sqref="C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5:C6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7:C21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2"/>
  <legacyDrawing r:id="rId3"/>
  <tableParts count="1"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13"/>
  </cols>
  <sheetData>
    <row r="1">
      <c r="A1" s="14" t="s">
        <v>63</v>
      </c>
      <c r="B1" s="15" t="str">
        <f>'SPECIAL Dash'!B8</f>
        <v>Get out of your comfort zone. Take risks, try new experiences, see what happens.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/>
      <c r="B2" s="16"/>
      <c r="C2" s="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1" t="s">
        <v>38</v>
      </c>
      <c r="B3" s="17" t="s">
        <v>39</v>
      </c>
      <c r="C3" s="1" t="s">
        <v>40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18">
        <v>45985.0</v>
      </c>
      <c r="B4" s="5" t="s">
        <v>64</v>
      </c>
      <c r="C4" s="6">
        <f t="shared" ref="C4:C21" si="1">IF(ISBLANK(A4),,1)</f>
        <v>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18">
        <v>45987.0</v>
      </c>
      <c r="B5" s="5" t="s">
        <v>65</v>
      </c>
      <c r="C5" s="6">
        <f t="shared" si="1"/>
        <v>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6"/>
      <c r="B6" s="19"/>
      <c r="C6" s="6" t="str">
        <f t="shared" si="1"/>
        <v/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6"/>
      <c r="B7" s="19"/>
      <c r="C7" s="6" t="str">
        <f t="shared" si="1"/>
        <v/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6"/>
      <c r="B8" s="19"/>
      <c r="C8" s="6" t="str">
        <f t="shared" si="1"/>
        <v/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6"/>
      <c r="B9" s="19"/>
      <c r="C9" s="6" t="str">
        <f t="shared" si="1"/>
        <v/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6"/>
      <c r="B10" s="19"/>
      <c r="C10" s="6" t="str">
        <f t="shared" si="1"/>
        <v/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6"/>
      <c r="B11" s="19"/>
      <c r="C11" s="6" t="str">
        <f t="shared" si="1"/>
        <v/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6"/>
      <c r="B12" s="19"/>
      <c r="C12" s="6" t="str">
        <f t="shared" si="1"/>
        <v/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6"/>
      <c r="B13" s="19"/>
      <c r="C13" s="6" t="str">
        <f t="shared" si="1"/>
        <v/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6"/>
      <c r="B14" s="19"/>
      <c r="C14" s="6" t="str">
        <f t="shared" si="1"/>
        <v/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6"/>
      <c r="B15" s="19"/>
      <c r="C15" s="6" t="str">
        <f t="shared" si="1"/>
        <v/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6"/>
      <c r="B16" s="19"/>
      <c r="C16" s="6" t="str">
        <f t="shared" si="1"/>
        <v/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6"/>
      <c r="B17" s="19"/>
      <c r="C17" s="6" t="str">
        <f t="shared" si="1"/>
        <v/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6"/>
      <c r="B18" s="19"/>
      <c r="C18" s="6" t="str">
        <f t="shared" si="1"/>
        <v/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6"/>
      <c r="B19" s="19"/>
      <c r="C19" s="6" t="str">
        <f t="shared" si="1"/>
        <v/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6"/>
      <c r="B20" s="19"/>
      <c r="C20" s="6" t="str">
        <f t="shared" si="1"/>
        <v/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6"/>
      <c r="B21" s="19"/>
      <c r="C21" s="6" t="str">
        <f t="shared" si="1"/>
        <v/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20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2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2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2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2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2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2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2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2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2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2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2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2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2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2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2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2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2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2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2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2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2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2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2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2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2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2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2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2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2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2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2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2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2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2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2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2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2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2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2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2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2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2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2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2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2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2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2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2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2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2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2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2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2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2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2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2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2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2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2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2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2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2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2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2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2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2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2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2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2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2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2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2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2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2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2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2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2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2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2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2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2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2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2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2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2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2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2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2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2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2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2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2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2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2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2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2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2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2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2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2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2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2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2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2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2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2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2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2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2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2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2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2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2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2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2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2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2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2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2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2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2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2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2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2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2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2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2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2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2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2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2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2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2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2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2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2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2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2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2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2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2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2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2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2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2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2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2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2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2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2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2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2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2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2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2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2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2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2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2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2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2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2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2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2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2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2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2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2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2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2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2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2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2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2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2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2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2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2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2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2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2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2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2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2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2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2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2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2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2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2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2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2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2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2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2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2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2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2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2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2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2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2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2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2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2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2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2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2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2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2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2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2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2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2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2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2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2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2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2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2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2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2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2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2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2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2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2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2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2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2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2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2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2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2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2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2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2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2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2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2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2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2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2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2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2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2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2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2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2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2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2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2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2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2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2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2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2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2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2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2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2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2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2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2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2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2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2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2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2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2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2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2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2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2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2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2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2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2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2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2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2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2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2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2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2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2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2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2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2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2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2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2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2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2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2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2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2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2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2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2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2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2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2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2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2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2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2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2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2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2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2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2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2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2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2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2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2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2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2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2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2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2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2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2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2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2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2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2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2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2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2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2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2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2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2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2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2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2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2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2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2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2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2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2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2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2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2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2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2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2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2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2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2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2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2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2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2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2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2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2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2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2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2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2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2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2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2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2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2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2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2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2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2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2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2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2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2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2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2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2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2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2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2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2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2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2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2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2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2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2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2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2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2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2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2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2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2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2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2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2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2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2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2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2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2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2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2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2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2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2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2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2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2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2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2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2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2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2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2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2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2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2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2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2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2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2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2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2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2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2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2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2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2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2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2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2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2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2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2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2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2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2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2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2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2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2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2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2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2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2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2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2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2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2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2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2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2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2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2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2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2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2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2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2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2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2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2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2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2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2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2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2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2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2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2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2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2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2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2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2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2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2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2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2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2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2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2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2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2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2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2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2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2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2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2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2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2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2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2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2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2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2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2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2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2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2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2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2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2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2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2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2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2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2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2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2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2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2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2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2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2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2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2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2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2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2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2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2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2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2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2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2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2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2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2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2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2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2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2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2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2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2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2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2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2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2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2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2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2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2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2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2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2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2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2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2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2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2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2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2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2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2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2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2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2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2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2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2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2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2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2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2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2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2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2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2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2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2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2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2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2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2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2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2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2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2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2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2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2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2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2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2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2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2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2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2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2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2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2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2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2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2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2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2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2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2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2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2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2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2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2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2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2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2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2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2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2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2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2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2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2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2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2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2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2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2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2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2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2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2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2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2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2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2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2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2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2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2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2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2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2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2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2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2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2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2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2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2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2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2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2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2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2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2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2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2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2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2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2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2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2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2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2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2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2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2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2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2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2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2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2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2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2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2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2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2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2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2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2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2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2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2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2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2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2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2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2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2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2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2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2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2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2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2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2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2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2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2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2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2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2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2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2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2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2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2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2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2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2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2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2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2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2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2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2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2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2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2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2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2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2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2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2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2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2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2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2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2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2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2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2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2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2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2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2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2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2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2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2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2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2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2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2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2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2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2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2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2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2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2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2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2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2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2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2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2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2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2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2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2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2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2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2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2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2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2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2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2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2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2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2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2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2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2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2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2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2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2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2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2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2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2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2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2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2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2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2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2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2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2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2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2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2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2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2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2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2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2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2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2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2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2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2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2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2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2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2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2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2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2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2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2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2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2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2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2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2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2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2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2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2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2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2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2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2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2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2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2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2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2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2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2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2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2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2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2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2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2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2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2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2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2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2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2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2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2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2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2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2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2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2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2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2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2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2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2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2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2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2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2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2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2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2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2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2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2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2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2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2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2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2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2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2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2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0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0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0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0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0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0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0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0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0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0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0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0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0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0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0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0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0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0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0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0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0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0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0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0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0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0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0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0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0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0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0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0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0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0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0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0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0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0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0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0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20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20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20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20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20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20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20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20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20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20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20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20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20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20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20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20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20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20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20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conditionalFormatting sqref="C4:C2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2"/>
  <legacyDrawing r:id="rId3"/>
  <tableParts count="1"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min="2" max="2" width="12.63" outlineLevel="1"/>
    <col customWidth="1" min="3" max="3" width="19.88" outlineLevel="1"/>
    <col customWidth="1" min="4" max="4" width="15.13" outlineLevel="1"/>
  </cols>
  <sheetData>
    <row r="1">
      <c r="A1" s="3"/>
      <c r="B1" s="21" t="s">
        <v>66</v>
      </c>
      <c r="C1" s="22"/>
      <c r="D1" s="2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3"/>
      <c r="B2" s="21" t="s">
        <v>67</v>
      </c>
      <c r="C2" s="21" t="s">
        <v>68</v>
      </c>
      <c r="D2" s="21" t="s">
        <v>69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3"/>
      <c r="B3" s="23" t="str">
        <f>'SPECIAL Dash'!A2</f>
        <v>(S)trength</v>
      </c>
      <c r="C3" s="22">
        <f>SUM(Strength!$C$4:$C1001)</f>
        <v>3</v>
      </c>
      <c r="D3" s="22">
        <f t="array" ref="D3">IFERROR(XLOOKUP(B3, 'Habit Tracker'!$B$3:W$3, 'Habit Tracker'!$B$5:W$5), 0)</f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3"/>
      <c r="B4" s="23" t="str">
        <f>'SPECIAL Dash'!A3</f>
        <v>(P)erception</v>
      </c>
      <c r="C4" s="22">
        <f>SUM(Perception!$C$4:$C1001)</f>
        <v>-1</v>
      </c>
      <c r="D4" s="22">
        <f t="array" ref="D4">IFERROR(XLOOKUP(B4, 'Habit Tracker'!$B$3:W$3, 'Habit Tracker'!$B$5:W$5), 0)</f>
        <v>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3"/>
      <c r="B5" s="23" t="str">
        <f>'SPECIAL Dash'!A4</f>
        <v>(E)ndurance</v>
      </c>
      <c r="C5" s="22">
        <f>SUM(Endurance!$C$4:$C1001)</f>
        <v>1</v>
      </c>
      <c r="D5" s="22">
        <f t="array" ref="D5">IFERROR(XLOOKUP(B5, 'Habit Tracker'!$B$3:W$3, 'Habit Tracker'!$B$5:W$5), 0)</f>
        <v>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3"/>
      <c r="B6" s="23" t="str">
        <f>'SPECIAL Dash'!A5</f>
        <v>(C)harisma</v>
      </c>
      <c r="C6" s="22">
        <f>SUM(Charisma!$C$4:$C1001)</f>
        <v>3</v>
      </c>
      <c r="D6" s="22">
        <f t="array" ref="D6">IFERROR(XLOOKUP(B6, 'Habit Tracker'!$B$3:W$3, 'Habit Tracker'!$B$5:W$5), 0)</f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3"/>
      <c r="B7" s="23" t="str">
        <f>'SPECIAL Dash'!A6</f>
        <v>(I)ntelligence</v>
      </c>
      <c r="C7" s="22">
        <f>SUM(Intelligence!$C$4:$C1001)</f>
        <v>0</v>
      </c>
      <c r="D7" s="22">
        <f t="array" ref="D7">IFERROR(XLOOKUP(B7, 'Habit Tracker'!$B$3:W$3, 'Habit Tracker'!$B$5:W$5), 0)</f>
        <v>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3"/>
      <c r="B8" s="23" t="str">
        <f>'SPECIAL Dash'!A7</f>
        <v>(A)gility</v>
      </c>
      <c r="C8" s="22">
        <f>SUM(Agility!$C$4:$C1001)</f>
        <v>2</v>
      </c>
      <c r="D8" s="22">
        <f t="array" ref="D8">IFERROR(XLOOKUP(B8, 'Habit Tracker'!$B$3:W$3, 'Habit Tracker'!$B$5:W$5), 0)</f>
        <v>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3"/>
      <c r="B9" s="23" t="str">
        <f>'SPECIAL Dash'!A8</f>
        <v>(L)uck</v>
      </c>
      <c r="C9" s="22">
        <f>SUM(Luck!$C$4:$C1001)</f>
        <v>2</v>
      </c>
      <c r="D9" s="22">
        <f t="array" ref="D9">IFERROR(XLOOKUP(B9, 'Habit Tracker'!$B$3:W$3, 'Habit Tracker'!$B$5:W$5), 0)</f>
        <v>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</sheetData>
  <drawing r:id="rId1"/>
</worksheet>
</file>